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views" sheetId="1" state="visible" r:id="rId3"/>
    <sheet name="Gate" sheetId="2" state="visible" r:id="rId4"/>
    <sheet name="Li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<sst xmlns="http://schemas.openxmlformats.org/spreadsheetml/2006/main" count="94" uniqueCount="84">
  <si>
    <t xml:space="preserve">How to use: fill one row per conversation from row 4 down (yellow cells are inputs). Row 3 is an EXAMPLE, delete it once you have real rows. Dropdowns come from the Lists sheet; the Gate sheet counts automatically.</t>
  </si>
  <si>
    <t xml:space="preserve">Name</t>
  </si>
  <si>
    <t xml:space="preserve">Role</t>
  </si>
  <si>
    <t xml:space="preserve">College</t>
  </si>
  <si>
    <t xml:space="preserve">Date</t>
  </si>
  <si>
    <t xml:space="preserve">Current LMS</t>
  </si>
  <si>
    <t xml:space="preserve">Top pains</t>
  </si>
  <si>
    <t xml:space="preserve">Key quotes</t>
  </si>
  <si>
    <t xml:space="preserve">Would teach a real course on it</t>
  </si>
  <si>
    <t xml:space="preserve">Price reaction</t>
  </si>
  <si>
    <t xml:space="preserve">Price notes</t>
  </si>
  <si>
    <t xml:space="preserve">Referrals given</t>
  </si>
  <si>
    <t xml:space="preserve">Follow-up / next step</t>
  </si>
  <si>
    <t xml:space="preserve">Pilot interest</t>
  </si>
  <si>
    <t xml:space="preserve">Example: Dr. Jane Doe</t>
  </si>
  <si>
    <t xml:space="preserve">Professor</t>
  </si>
  <si>
    <t xml:space="preserve">Ohio Wesleyan</t>
  </si>
  <si>
    <t xml:space="preserve">2026-10-12</t>
  </si>
  <si>
    <t xml:space="preserve">Blackboard</t>
  </si>
  <si>
    <t xml:space="preserve">Grading problem sets takes 6 hrs/week; gradebook weights confuse students</t>
  </si>
  <si>
    <t xml:space="preserve">"I grade 80 lab reports and half the time is flipping pages."</t>
  </si>
  <si>
    <t xml:space="preserve">Maybe</t>
  </si>
  <si>
    <t xml:space="preserve">Not asked</t>
  </si>
  <si>
    <t xml:space="preserve">Dr. A (Chemistry, may use my name); IT: Mr. B</t>
  </si>
  <si>
    <t xml:space="preserve">Send summary; ask for IT intro</t>
  </si>
  <si>
    <t xml:space="preserve">Would consider</t>
  </si>
  <si>
    <t xml:space="preserve">Discovery gate (Business Research v2, Section 8). Counts exclude row 3 (the example).</t>
  </si>
  <si>
    <t xml:space="preserve">Measure</t>
  </si>
  <si>
    <t xml:space="preserve">Value</t>
  </si>
  <si>
    <t xml:space="preserve">Target / note</t>
  </si>
  <si>
    <t xml:space="preserve">Total interviews logged</t>
  </si>
  <si>
    <t xml:space="preserve">Professors interviewed</t>
  </si>
  <si>
    <t xml:space="preserve">Target: at least 10</t>
  </si>
  <si>
    <t xml:space="preserve">Professors: would teach a real course = Yes</t>
  </si>
  <si>
    <t xml:space="preserve">Target: at least 6</t>
  </si>
  <si>
    <t xml:space="preserve">Professors: Maybe</t>
  </si>
  <si>
    <t xml:space="preserve">Note what would turn each into a Yes</t>
  </si>
  <si>
    <t xml:space="preserve">Professors: No</t>
  </si>
  <si>
    <t xml:space="preserve">Yes rate among professors</t>
  </si>
  <si>
    <t xml:space="preserve">Stop and rethink if under 3 Yes after 10 professors</t>
  </si>
  <si>
    <t xml:space="preserve">Signed LOIs (IT has seen)</t>
  </si>
  <si>
    <t xml:space="preserve">Target: at least 1</t>
  </si>
  <si>
    <t xml:space="preserve">LOIs under discussion</t>
  </si>
  <si>
    <t xml:space="preserve">Price: About right</t>
  </si>
  <si>
    <t xml:space="preserve">Target: 2+ provost/CFO say interesting</t>
  </si>
  <si>
    <t xml:space="preserve">Price: Too cheap to trust</t>
  </si>
  <si>
    <t xml:space="preserve">Price: Too expensive</t>
  </si>
  <si>
    <t xml:space="preserve">Colleges with at least one interview</t>
  </si>
  <si>
    <t xml:space="preserve">GATE: demand met?</t>
  </si>
  <si>
    <t xml:space="preserve">6 of 10+ professors say Yes</t>
  </si>
  <si>
    <t xml:space="preserve">GATE: permission met?</t>
  </si>
  <si>
    <t xml:space="preserve">1+ IT-approved paid-pilot LOI</t>
  </si>
  <si>
    <t xml:space="preserve">LMS</t>
  </si>
  <si>
    <t xml:space="preserve">Teach</t>
  </si>
  <si>
    <t xml:space="preserve">Price</t>
  </si>
  <si>
    <t xml:space="preserve">Pilot</t>
  </si>
  <si>
    <t xml:space="preserve">Yes</t>
  </si>
  <si>
    <t xml:space="preserve">Too cheap to trust</t>
  </si>
  <si>
    <t xml:space="preserve">None</t>
  </si>
  <si>
    <t xml:space="preserve">TA</t>
  </si>
  <si>
    <t xml:space="preserve">Wilmington</t>
  </si>
  <si>
    <t xml:space="preserve">Moodle</t>
  </si>
  <si>
    <t xml:space="preserve">About right</t>
  </si>
  <si>
    <t xml:space="preserve">LMS admin / ID</t>
  </si>
  <si>
    <t xml:space="preserve">Kenyon</t>
  </si>
  <si>
    <t xml:space="preserve">Open LMS</t>
  </si>
  <si>
    <t xml:space="preserve">No</t>
  </si>
  <si>
    <t xml:space="preserve">Too expensive</t>
  </si>
  <si>
    <t xml:space="preserve">LOI discussed</t>
  </si>
  <si>
    <t xml:space="preserve">IT director</t>
  </si>
  <si>
    <t xml:space="preserve">Wooster</t>
  </si>
  <si>
    <t xml:space="preserve">Canvas</t>
  </si>
  <si>
    <t xml:space="preserve">N/A</t>
  </si>
  <si>
    <t xml:space="preserve">LOI signed</t>
  </si>
  <si>
    <t xml:space="preserve">Registrar / aid</t>
  </si>
  <si>
    <t xml:space="preserve">Wittenberg</t>
  </si>
  <si>
    <t xml:space="preserve">Brightspace</t>
  </si>
  <si>
    <t xml:space="preserve">Provost / dean</t>
  </si>
  <si>
    <t xml:space="preserve">Marietta</t>
  </si>
  <si>
    <t xml:space="preserve">Other</t>
  </si>
  <si>
    <t xml:space="preserve">Chair</t>
  </si>
  <si>
    <t xml:space="preserve">Malone</t>
  </si>
  <si>
    <t xml:space="preserve">Hiram</t>
  </si>
  <si>
    <t xml:space="preserve">Oberlin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</si>
</sst>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40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28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9.5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26.85" hidden="false" customHeight="false" outlineLevel="0" collapsed="false">
      <c r="A3" s="3" t="s">
        <v>14</v>
      </c>
      <c r="B3" s="3" t="s">
        <v>15</v>
      </c>
      <c r="C3" s="3" t="s">
        <v>16</v>
      </c>
      <c r="D3" s="4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/>
      <c r="K3" s="3" t="s">
        <v>23</v>
      </c>
      <c r="L3" s="3" t="s">
        <v>24</v>
      </c>
      <c r="M3" s="3" t="s">
        <v>25</v>
      </c>
    </row>
    <row r="4" customFormat="false" ht="15" hidden="false" customHeight="false" outlineLevel="0" collapsed="false">
      <c r="A4" s="5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5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5"/>
      <c r="B8" s="5"/>
      <c r="C8" s="5"/>
      <c r="D8" s="6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5"/>
      <c r="B9" s="5"/>
      <c r="C9" s="5"/>
      <c r="D9" s="6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5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5"/>
      <c r="B12" s="5"/>
      <c r="C12" s="5"/>
      <c r="D12" s="6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false" outlineLevel="0" collapsed="false">
      <c r="A14" s="5"/>
      <c r="B14" s="5"/>
      <c r="C14" s="5"/>
      <c r="D14" s="6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5"/>
      <c r="B15" s="5"/>
      <c r="C15" s="5"/>
      <c r="D15" s="6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A16" s="5"/>
      <c r="B16" s="5"/>
      <c r="C16" s="5"/>
      <c r="D16" s="6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A17" s="5"/>
      <c r="B17" s="5"/>
      <c r="C17" s="5"/>
      <c r="D17" s="6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A18" s="5"/>
      <c r="B18" s="5"/>
      <c r="C18" s="5"/>
      <c r="D18" s="6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5"/>
      <c r="B19" s="5"/>
      <c r="C19" s="5"/>
      <c r="D19" s="6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5" hidden="false" customHeight="false" outlineLevel="0" collapsed="false">
      <c r="A20" s="5"/>
      <c r="B20" s="5"/>
      <c r="C20" s="5"/>
      <c r="D20" s="6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5"/>
      <c r="B21" s="5"/>
      <c r="C21" s="5"/>
      <c r="D21" s="6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5"/>
      <c r="B22" s="5"/>
      <c r="C22" s="5"/>
      <c r="D22" s="6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" hidden="false" customHeight="false" outlineLevel="0" collapsed="false">
      <c r="A23" s="5"/>
      <c r="B23" s="5"/>
      <c r="C23" s="5"/>
      <c r="D23" s="6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" hidden="false" customHeight="false" outlineLevel="0" collapsed="false">
      <c r="A24" s="5"/>
      <c r="B24" s="5"/>
      <c r="C24" s="5"/>
      <c r="D24" s="6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A25" s="5"/>
      <c r="B25" s="5"/>
      <c r="C25" s="5"/>
      <c r="D25" s="6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5"/>
      <c r="B26" s="5"/>
      <c r="C26" s="5"/>
      <c r="D26" s="6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5" hidden="false" customHeight="false" outlineLevel="0" collapsed="false">
      <c r="A27" s="5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5" hidden="false" customHeight="false" outlineLevel="0" collapsed="false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5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5" hidden="false" customHeight="false" outlineLevel="0" collapsed="false">
      <c r="A30" s="5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5" hidden="false" customHeight="false" outlineLevel="0" collapsed="false">
      <c r="A31" s="5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5" hidden="false" customHeight="false" outlineLevel="0" collapsed="false">
      <c r="A32" s="5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5" hidden="false" customHeight="false" outlineLevel="0" collapsed="false">
      <c r="A33" s="5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A34" s="5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5" hidden="false" customHeight="false" outlineLevel="0" collapsed="false">
      <c r="A35" s="5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5" hidden="false" customHeight="false" outlineLevel="0" collapsed="false">
      <c r="A36" s="5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" hidden="false" customHeight="false" outlineLevel="0" collapsed="false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5" hidden="false" customHeight="false" outlineLevel="0" collapsed="false">
      <c r="A38" s="5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5" hidden="false" customHeight="false" outlineLevel="0" collapsed="false">
      <c r="A39" s="5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" hidden="false" customHeight="false" outlineLevel="0" collapsed="false">
      <c r="A40" s="5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A41" s="5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5" hidden="false" customHeight="false" outlineLevel="0" collapsed="false">
      <c r="A42" s="5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5" hidden="false" customHeight="false" outlineLevel="0" collapsed="false">
      <c r="A43" s="5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5" hidden="false" customHeight="false" outlineLevel="0" collapsed="false">
      <c r="A44" s="5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5" hidden="false" customHeight="false" outlineLevel="0" collapsed="false">
      <c r="A45" s="5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15" hidden="false" customHeight="false" outlineLevel="0" collapsed="false">
      <c r="A46" s="5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5" hidden="false" customHeight="false" outlineLevel="0" collapsed="false">
      <c r="A47" s="5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15" hidden="false" customHeight="false" outlineLevel="0" collapsed="false">
      <c r="A48" s="5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5" hidden="false" customHeight="false" outlineLevel="0" collapsed="false">
      <c r="A49" s="5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15" hidden="false" customHeight="false" outlineLevel="0" collapsed="false">
      <c r="A50" s="5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</row>
    <row r="51" customFormat="false" ht="15" hidden="false" customHeight="false" outlineLevel="0" collapsed="false">
      <c r="A51" s="5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15" hidden="false" customHeight="false" outlineLevel="0" collapsed="false">
      <c r="A52" s="5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</row>
    <row r="53" customFormat="false" ht="15" hidden="false" customHeight="false" outlineLevel="0" collapsed="false">
      <c r="A53" s="5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15" hidden="false" customHeight="false" outlineLevel="0" collapsed="false">
      <c r="A54" s="5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5" hidden="false" customHeight="false" outlineLevel="0" collapsed="false">
      <c r="A55" s="5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15" hidden="false" customHeight="false" outlineLevel="0" collapsed="false">
      <c r="A56" s="5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5" hidden="false" customHeight="false" outlineLevel="0" collapsed="false">
      <c r="A57" s="5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5" hidden="false" customHeight="false" outlineLevel="0" collapsed="false">
      <c r="A58" s="5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</row>
    <row r="59" customFormat="false" ht="15" hidden="false" customHeight="false" outlineLevel="0" collapsed="false">
      <c r="A59" s="5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</row>
    <row r="60" customFormat="false" ht="15" hidden="false" customHeight="false" outlineLevel="0" collapsed="false">
      <c r="A60" s="5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</row>
    <row r="61" customFormat="false" ht="15" hidden="false" customHeight="false" outlineLevel="0" collapsed="false">
      <c r="A61" s="5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5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15" hidden="false" customHeight="false" outlineLevel="0" collapsed="false">
      <c r="A63" s="5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</row>
    <row r="64" customFormat="false" ht="15" hidden="false" customHeight="false" outlineLevel="0" collapsed="false">
      <c r="A64" s="5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</row>
    <row r="65" customFormat="false" ht="15" hidden="false" customHeight="false" outlineLevel="0" collapsed="false">
      <c r="A65" s="5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</row>
    <row r="66" customFormat="false" ht="15" hidden="false" customHeight="false" outlineLevel="0" collapsed="false">
      <c r="A66" s="5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</row>
    <row r="67" customFormat="false" ht="15" hidden="false" customHeight="false" outlineLevel="0" collapsed="false">
      <c r="A67" s="5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</row>
    <row r="68" customFormat="false" ht="15" hidden="false" customHeight="false" outlineLevel="0" collapsed="false">
      <c r="A68" s="5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</row>
    <row r="69" customFormat="false" ht="15" hidden="false" customHeight="false" outlineLevel="0" collapsed="false">
      <c r="A69" s="5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</row>
    <row r="70" customFormat="false" ht="15" hidden="false" customHeight="false" outlineLevel="0" collapsed="false">
      <c r="A70" s="5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</row>
    <row r="71" customFormat="false" ht="15" hidden="false" customHeight="false" outlineLevel="0" collapsed="false">
      <c r="A71" s="5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5" hidden="false" customHeight="false" outlineLevel="0" collapsed="false">
      <c r="A72" s="5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</row>
    <row r="73" customFormat="false" ht="15" hidden="false" customHeight="false" outlineLevel="0" collapsed="false">
      <c r="A73" s="5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</row>
    <row r="74" customFormat="false" ht="15" hidden="false" customHeight="false" outlineLevel="0" collapsed="false">
      <c r="A74" s="5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</row>
    <row r="75" customFormat="false" ht="15" hidden="false" customHeight="false" outlineLevel="0" collapsed="false">
      <c r="A75" s="5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</row>
    <row r="76" customFormat="false" ht="15" hidden="false" customHeight="false" outlineLevel="0" collapsed="false">
      <c r="A76" s="5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</row>
    <row r="77" customFormat="false" ht="15" hidden="false" customHeight="false" outlineLevel="0" collapsed="false">
      <c r="A77" s="5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</row>
    <row r="78" customFormat="false" ht="15" hidden="false" customHeight="false" outlineLevel="0" collapsed="false">
      <c r="A78" s="5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</row>
    <row r="79" customFormat="false" ht="15" hidden="false" customHeight="false" outlineLevel="0" collapsed="false">
      <c r="A79" s="5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</row>
    <row r="80" customFormat="false" ht="15" hidden="false" customHeight="false" outlineLevel="0" collapsed="false">
      <c r="A80" s="5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</row>
    <row r="81" customFormat="false" ht="15" hidden="false" customHeight="false" outlineLevel="0" collapsed="false">
      <c r="A81" s="5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</row>
    <row r="82" customFormat="false" ht="15" hidden="false" customHeight="false" outlineLevel="0" collapsed="false">
      <c r="A82" s="5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</row>
    <row r="83" customFormat="false" ht="15" hidden="false" customHeight="false" outlineLevel="0" collapsed="false">
      <c r="A83" s="5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</row>
    <row r="84" customFormat="false" ht="15" hidden="false" customHeight="false" outlineLevel="0" collapsed="false">
      <c r="A84" s="5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</row>
    <row r="85" customFormat="false" ht="15" hidden="false" customHeight="false" outlineLevel="0" collapsed="false">
      <c r="A85" s="5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</row>
    <row r="86" customFormat="false" ht="15" hidden="false" customHeight="false" outlineLevel="0" collapsed="false">
      <c r="A86" s="5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</row>
    <row r="87" customFormat="false" ht="15" hidden="false" customHeight="false" outlineLevel="0" collapsed="false">
      <c r="A87" s="5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</row>
    <row r="88" customFormat="false" ht="15" hidden="false" customHeight="false" outlineLevel="0" collapsed="false">
      <c r="A88" s="5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</row>
    <row r="89" customFormat="false" ht="15" hidden="false" customHeight="false" outlineLevel="0" collapsed="false">
      <c r="A89" s="5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</row>
    <row r="90" customFormat="false" ht="15" hidden="false" customHeight="false" outlineLevel="0" collapsed="false">
      <c r="A90" s="5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</row>
    <row r="91" customFormat="false" ht="15" hidden="false" customHeight="false" outlineLevel="0" collapsed="false">
      <c r="A91" s="5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</row>
    <row r="92" customFormat="false" ht="15" hidden="false" customHeight="false" outlineLevel="0" collapsed="false">
      <c r="A92" s="5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</row>
    <row r="93" customFormat="false" ht="15" hidden="false" customHeight="false" outlineLevel="0" collapsed="false">
      <c r="A93" s="5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</row>
    <row r="94" customFormat="false" ht="15" hidden="false" customHeight="false" outlineLevel="0" collapsed="false">
      <c r="A94" s="5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</row>
    <row r="95" customFormat="false" ht="15" hidden="false" customHeight="false" outlineLevel="0" collapsed="false">
      <c r="A95" s="5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</row>
    <row r="96" customFormat="false" ht="15" hidden="false" customHeight="false" outlineLevel="0" collapsed="false">
      <c r="A96" s="5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</row>
    <row r="97" customFormat="false" ht="15" hidden="false" customHeight="false" outlineLevel="0" collapsed="false">
      <c r="A97" s="5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</row>
    <row r="98" customFormat="false" ht="15" hidden="false" customHeight="false" outlineLevel="0" collapsed="false">
      <c r="A98" s="5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</row>
    <row r="99" customFormat="false" ht="15" hidden="false" customHeight="false" outlineLevel="0" collapsed="false">
      <c r="A99" s="5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</row>
    <row r="100" customFormat="false" ht="15" hidden="false" customHeight="false" outlineLevel="0" collapsed="false">
      <c r="A100" s="5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</row>
    <row r="101" customFormat="false" ht="15" hidden="false" customHeight="false" outlineLevel="0" collapsed="false">
      <c r="A101" s="5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</row>
    <row r="102" customFormat="false" ht="15" hidden="false" customHeight="false" outlineLevel="0" collapsed="false">
      <c r="A102" s="5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</row>
    <row r="103" customFormat="false" ht="15" hidden="false" customHeight="false" outlineLevel="0" collapsed="false">
      <c r="A103" s="5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</row>
    <row r="104" customFormat="false" ht="15" hidden="false" customHeight="false" outlineLevel="0" collapsed="false">
      <c r="A104" s="5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</row>
    <row r="105" customFormat="false" ht="15" hidden="false" customHeight="false" outlineLevel="0" collapsed="false">
      <c r="A105" s="5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</row>
    <row r="106" customFormat="false" ht="15" hidden="false" customHeight="false" outlineLevel="0" collapsed="false">
      <c r="A106" s="5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</row>
    <row r="107" customFormat="false" ht="15" hidden="false" customHeight="false" outlineLevel="0" collapsed="false">
      <c r="A107" s="5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</row>
    <row r="108" customFormat="false" ht="15" hidden="false" customHeight="false" outlineLevel="0" collapsed="false">
      <c r="A108" s="5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</row>
    <row r="109" customFormat="false" ht="15" hidden="false" customHeight="false" outlineLevel="0" collapsed="false">
      <c r="A109" s="5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</row>
    <row r="110" customFormat="false" ht="15" hidden="false" customHeight="false" outlineLevel="0" collapsed="false">
      <c r="A110" s="5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</row>
    <row r="111" customFormat="false" ht="15" hidden="false" customHeight="false" outlineLevel="0" collapsed="false">
      <c r="A111" s="5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</row>
    <row r="112" customFormat="false" ht="15" hidden="false" customHeight="false" outlineLevel="0" collapsed="false">
      <c r="A112" s="5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</row>
    <row r="113" customFormat="false" ht="15" hidden="false" customHeight="false" outlineLevel="0" collapsed="false">
      <c r="A113" s="5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</row>
    <row r="114" customFormat="false" ht="15" hidden="false" customHeight="false" outlineLevel="0" collapsed="false">
      <c r="A114" s="5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</row>
    <row r="115" customFormat="false" ht="15" hidden="false" customHeight="false" outlineLevel="0" collapsed="false">
      <c r="A115" s="5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</row>
    <row r="116" customFormat="false" ht="15" hidden="false" customHeight="false" outlineLevel="0" collapsed="false">
      <c r="A116" s="5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</row>
    <row r="117" customFormat="false" ht="15" hidden="false" customHeight="false" outlineLevel="0" collapsed="false">
      <c r="A117" s="5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</row>
    <row r="118" customFormat="false" ht="15" hidden="false" customHeight="false" outlineLevel="0" collapsed="false">
      <c r="A118" s="5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</row>
    <row r="119" customFormat="false" ht="15" hidden="false" customHeight="false" outlineLevel="0" collapsed="false">
      <c r="A119" s="5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</row>
    <row r="120" customFormat="false" ht="15" hidden="false" customHeight="false" outlineLevel="0" collapsed="false">
      <c r="A120" s="5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</row>
    <row r="121" customFormat="false" ht="15" hidden="false" customHeight="false" outlineLevel="0" collapsed="false">
      <c r="A121" s="5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</row>
    <row r="122" customFormat="false" ht="15" hidden="false" customHeight="false" outlineLevel="0" collapsed="false">
      <c r="A122" s="5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</row>
    <row r="123" customFormat="false" ht="15" hidden="false" customHeight="false" outlineLevel="0" collapsed="false">
      <c r="A123" s="5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</row>
    <row r="124" customFormat="false" ht="15" hidden="false" customHeight="false" outlineLevel="0" collapsed="false">
      <c r="A124" s="5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</row>
    <row r="125" customFormat="false" ht="15" hidden="false" customHeight="false" outlineLevel="0" collapsed="false">
      <c r="A125" s="5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</row>
    <row r="126" customFormat="false" ht="15" hidden="false" customHeight="false" outlineLevel="0" collapsed="false">
      <c r="A126" s="5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</row>
    <row r="127" customFormat="false" ht="15" hidden="false" customHeight="false" outlineLevel="0" collapsed="false">
      <c r="A127" s="5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</row>
    <row r="128" customFormat="false" ht="15" hidden="false" customHeight="false" outlineLevel="0" collapsed="false">
      <c r="A128" s="5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</row>
    <row r="129" customFormat="false" ht="15" hidden="false" customHeight="false" outlineLevel="0" collapsed="false">
      <c r="A129" s="5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</row>
    <row r="130" customFormat="false" ht="15" hidden="false" customHeight="false" outlineLevel="0" collapsed="false">
      <c r="A130" s="5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</row>
    <row r="131" customFormat="false" ht="15" hidden="false" customHeight="false" outlineLevel="0" collapsed="false">
      <c r="A131" s="5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</row>
    <row r="132" customFormat="false" ht="15" hidden="false" customHeight="false" outlineLevel="0" collapsed="false">
      <c r="A132" s="5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</row>
    <row r="133" customFormat="false" ht="15" hidden="false" customHeight="false" outlineLevel="0" collapsed="false">
      <c r="A133" s="5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</row>
    <row r="134" customFormat="false" ht="15" hidden="false" customHeight="false" outlineLevel="0" collapsed="false">
      <c r="A134" s="5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</row>
    <row r="135" customFormat="false" ht="15" hidden="false" customHeight="false" outlineLevel="0" collapsed="false">
      <c r="A135" s="5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</row>
    <row r="136" customFormat="false" ht="15" hidden="false" customHeight="false" outlineLevel="0" collapsed="false">
      <c r="A136" s="5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</row>
    <row r="137" customFormat="false" ht="15" hidden="false" customHeight="false" outlineLevel="0" collapsed="false">
      <c r="A137" s="5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</row>
    <row r="138" customFormat="false" ht="15" hidden="false" customHeight="false" outlineLevel="0" collapsed="false">
      <c r="A138" s="5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</row>
    <row r="139" customFormat="false" ht="15" hidden="false" customHeight="false" outlineLevel="0" collapsed="false">
      <c r="A139" s="5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</row>
    <row r="140" customFormat="false" ht="15" hidden="false" customHeight="false" outlineLevel="0" collapsed="false">
      <c r="A140" s="5"/>
      <c r="B140" s="5"/>
      <c r="C140" s="5"/>
      <c r="D140" s="6"/>
      <c r="E140" s="5"/>
      <c r="F140" s="5"/>
      <c r="G140" s="5"/>
      <c r="H140" s="5"/>
      <c r="I140" s="5"/>
      <c r="J140" s="5"/>
      <c r="K140" s="5"/>
      <c r="L140" s="5"/>
      <c r="M140" s="5"/>
    </row>
    <row r="141" customFormat="false" ht="15" hidden="false" customHeight="false" outlineLevel="0" collapsed="false">
      <c r="A141" s="5"/>
      <c r="B141" s="5"/>
      <c r="C141" s="5"/>
      <c r="D141" s="6"/>
      <c r="E141" s="5"/>
      <c r="F141" s="5"/>
      <c r="G141" s="5"/>
      <c r="H141" s="5"/>
      <c r="I141" s="5"/>
      <c r="J141" s="5"/>
      <c r="K141" s="5"/>
      <c r="L141" s="5"/>
      <c r="M141" s="5"/>
    </row>
    <row r="142" customFormat="false" ht="15" hidden="false" customHeight="false" outlineLevel="0" collapsed="false">
      <c r="A142" s="5"/>
      <c r="B142" s="5"/>
      <c r="C142" s="5"/>
      <c r="D142" s="6"/>
      <c r="E142" s="5"/>
      <c r="F142" s="5"/>
      <c r="G142" s="5"/>
      <c r="H142" s="5"/>
      <c r="I142" s="5"/>
      <c r="J142" s="5"/>
      <c r="K142" s="5"/>
      <c r="L142" s="5"/>
      <c r="M142" s="5"/>
    </row>
    <row r="143" customFormat="false" ht="15" hidden="false" customHeight="false" outlineLevel="0" collapsed="false">
      <c r="A143" s="5"/>
      <c r="B143" s="5"/>
      <c r="C143" s="5"/>
      <c r="D143" s="6"/>
      <c r="E143" s="5"/>
      <c r="F143" s="5"/>
      <c r="G143" s="5"/>
      <c r="H143" s="5"/>
      <c r="I143" s="5"/>
      <c r="J143" s="5"/>
      <c r="K143" s="5"/>
      <c r="L143" s="5"/>
      <c r="M143" s="5"/>
    </row>
    <row r="144" customFormat="false" ht="15" hidden="false" customHeight="false" outlineLevel="0" collapsed="false">
      <c r="A144" s="5"/>
      <c r="B144" s="5"/>
      <c r="C144" s="5"/>
      <c r="D144" s="6"/>
      <c r="E144" s="5"/>
      <c r="F144" s="5"/>
      <c r="G144" s="5"/>
      <c r="H144" s="5"/>
      <c r="I144" s="5"/>
      <c r="J144" s="5"/>
      <c r="K144" s="5"/>
      <c r="L144" s="5"/>
      <c r="M144" s="5"/>
    </row>
    <row r="145" customFormat="false" ht="15" hidden="false" customHeight="false" outlineLevel="0" collapsed="false">
      <c r="A145" s="5"/>
      <c r="B145" s="5"/>
      <c r="C145" s="5"/>
      <c r="D145" s="6"/>
      <c r="E145" s="5"/>
      <c r="F145" s="5"/>
      <c r="G145" s="5"/>
      <c r="H145" s="5"/>
      <c r="I145" s="5"/>
      <c r="J145" s="5"/>
      <c r="K145" s="5"/>
      <c r="L145" s="5"/>
      <c r="M145" s="5"/>
    </row>
    <row r="146" customFormat="false" ht="15" hidden="false" customHeight="false" outlineLevel="0" collapsed="false">
      <c r="A146" s="5"/>
      <c r="B146" s="5"/>
      <c r="C146" s="5"/>
      <c r="D146" s="6"/>
      <c r="E146" s="5"/>
      <c r="F146" s="5"/>
      <c r="G146" s="5"/>
      <c r="H146" s="5"/>
      <c r="I146" s="5"/>
      <c r="J146" s="5"/>
      <c r="K146" s="5"/>
      <c r="L146" s="5"/>
      <c r="M146" s="5"/>
    </row>
    <row r="147" customFormat="false" ht="15" hidden="false" customHeight="false" outlineLevel="0" collapsed="false">
      <c r="A147" s="5"/>
      <c r="B147" s="5"/>
      <c r="C147" s="5"/>
      <c r="D147" s="6"/>
      <c r="E147" s="5"/>
      <c r="F147" s="5"/>
      <c r="G147" s="5"/>
      <c r="H147" s="5"/>
      <c r="I147" s="5"/>
      <c r="J147" s="5"/>
      <c r="K147" s="5"/>
      <c r="L147" s="5"/>
      <c r="M147" s="5"/>
    </row>
    <row r="148" customFormat="false" ht="15" hidden="false" customHeight="false" outlineLevel="0" collapsed="false">
      <c r="A148" s="5"/>
      <c r="B148" s="5"/>
      <c r="C148" s="5"/>
      <c r="D148" s="6"/>
      <c r="E148" s="5"/>
      <c r="F148" s="5"/>
      <c r="G148" s="5"/>
      <c r="H148" s="5"/>
      <c r="I148" s="5"/>
      <c r="J148" s="5"/>
      <c r="K148" s="5"/>
      <c r="L148" s="5"/>
      <c r="M148" s="5"/>
    </row>
    <row r="149" customFormat="false" ht="15" hidden="false" customHeight="false" outlineLevel="0" collapsed="false">
      <c r="A149" s="5"/>
      <c r="B149" s="5"/>
      <c r="C149" s="5"/>
      <c r="D149" s="6"/>
      <c r="E149" s="5"/>
      <c r="F149" s="5"/>
      <c r="G149" s="5"/>
      <c r="H149" s="5"/>
      <c r="I149" s="5"/>
      <c r="J149" s="5"/>
      <c r="K149" s="5"/>
      <c r="L149" s="5"/>
      <c r="M149" s="5"/>
    </row>
    <row r="150" customFormat="false" ht="15" hidden="false" customHeight="false" outlineLevel="0" collapsed="false">
      <c r="A150" s="5"/>
      <c r="B150" s="5"/>
      <c r="C150" s="5"/>
      <c r="D150" s="6"/>
      <c r="E150" s="5"/>
      <c r="F150" s="5"/>
      <c r="G150" s="5"/>
      <c r="H150" s="5"/>
      <c r="I150" s="5"/>
      <c r="J150" s="5"/>
      <c r="K150" s="5"/>
      <c r="L150" s="5"/>
      <c r="M150" s="5"/>
    </row>
    <row r="151" customFormat="false" ht="15" hidden="false" customHeight="false" outlineLevel="0" collapsed="false">
      <c r="A151" s="5"/>
      <c r="B151" s="5"/>
      <c r="C151" s="5"/>
      <c r="D151" s="6"/>
      <c r="E151" s="5"/>
      <c r="F151" s="5"/>
      <c r="G151" s="5"/>
      <c r="H151" s="5"/>
      <c r="I151" s="5"/>
      <c r="J151" s="5"/>
      <c r="K151" s="5"/>
      <c r="L151" s="5"/>
      <c r="M151" s="5"/>
    </row>
    <row r="152" customFormat="false" ht="15" hidden="false" customHeight="false" outlineLevel="0" collapsed="false">
      <c r="A152" s="5"/>
      <c r="B152" s="5"/>
      <c r="C152" s="5"/>
      <c r="D152" s="6"/>
      <c r="E152" s="5"/>
      <c r="F152" s="5"/>
      <c r="G152" s="5"/>
      <c r="H152" s="5"/>
      <c r="I152" s="5"/>
      <c r="J152" s="5"/>
      <c r="K152" s="5"/>
      <c r="L152" s="5"/>
      <c r="M152" s="5"/>
    </row>
    <row r="153" customFormat="false" ht="15" hidden="false" customHeight="false" outlineLevel="0" collapsed="false">
      <c r="A153" s="5"/>
      <c r="B153" s="5"/>
      <c r="C153" s="5"/>
      <c r="D153" s="6"/>
      <c r="E153" s="5"/>
      <c r="F153" s="5"/>
      <c r="G153" s="5"/>
      <c r="H153" s="5"/>
      <c r="I153" s="5"/>
      <c r="J153" s="5"/>
      <c r="K153" s="5"/>
      <c r="L153" s="5"/>
      <c r="M153" s="5"/>
    </row>
    <row r="154" customFormat="false" ht="15" hidden="false" customHeight="false" outlineLevel="0" collapsed="false">
      <c r="A154" s="5"/>
      <c r="B154" s="5"/>
      <c r="C154" s="5"/>
      <c r="D154" s="6"/>
      <c r="E154" s="5"/>
      <c r="F154" s="5"/>
      <c r="G154" s="5"/>
      <c r="H154" s="5"/>
      <c r="I154" s="5"/>
      <c r="J154" s="5"/>
      <c r="K154" s="5"/>
      <c r="L154" s="5"/>
      <c r="M154" s="5"/>
    </row>
    <row r="155" customFormat="false" ht="15" hidden="false" customHeight="false" outlineLevel="0" collapsed="false">
      <c r="A155" s="5"/>
      <c r="B155" s="5"/>
      <c r="C155" s="5"/>
      <c r="D155" s="6"/>
      <c r="E155" s="5"/>
      <c r="F155" s="5"/>
      <c r="G155" s="5"/>
      <c r="H155" s="5"/>
      <c r="I155" s="5"/>
      <c r="J155" s="5"/>
      <c r="K155" s="5"/>
      <c r="L155" s="5"/>
      <c r="M155" s="5"/>
    </row>
    <row r="156" customFormat="false" ht="15" hidden="false" customHeight="false" outlineLevel="0" collapsed="false">
      <c r="A156" s="5"/>
      <c r="B156" s="5"/>
      <c r="C156" s="5"/>
      <c r="D156" s="6"/>
      <c r="E156" s="5"/>
      <c r="F156" s="5"/>
      <c r="G156" s="5"/>
      <c r="H156" s="5"/>
      <c r="I156" s="5"/>
      <c r="J156" s="5"/>
      <c r="K156" s="5"/>
      <c r="L156" s="5"/>
      <c r="M156" s="5"/>
    </row>
    <row r="157" customFormat="false" ht="15" hidden="false" customHeight="false" outlineLevel="0" collapsed="false">
      <c r="A157" s="5"/>
      <c r="B157" s="5"/>
      <c r="C157" s="5"/>
      <c r="D157" s="6"/>
      <c r="E157" s="5"/>
      <c r="F157" s="5"/>
      <c r="G157" s="5"/>
      <c r="H157" s="5"/>
      <c r="I157" s="5"/>
      <c r="J157" s="5"/>
      <c r="K157" s="5"/>
      <c r="L157" s="5"/>
      <c r="M157" s="5"/>
    </row>
    <row r="158" customFormat="false" ht="15" hidden="false" customHeight="false" outlineLevel="0" collapsed="false">
      <c r="A158" s="5"/>
      <c r="B158" s="5"/>
      <c r="C158" s="5"/>
      <c r="D158" s="6"/>
      <c r="E158" s="5"/>
      <c r="F158" s="5"/>
      <c r="G158" s="5"/>
      <c r="H158" s="5"/>
      <c r="I158" s="5"/>
      <c r="J158" s="5"/>
      <c r="K158" s="5"/>
      <c r="L158" s="5"/>
      <c r="M158" s="5"/>
    </row>
    <row r="159" customFormat="false" ht="15" hidden="false" customHeight="false" outlineLevel="0" collapsed="false">
      <c r="A159" s="5"/>
      <c r="B159" s="5"/>
      <c r="C159" s="5"/>
      <c r="D159" s="6"/>
      <c r="E159" s="5"/>
      <c r="F159" s="5"/>
      <c r="G159" s="5"/>
      <c r="H159" s="5"/>
      <c r="I159" s="5"/>
      <c r="J159" s="5"/>
      <c r="K159" s="5"/>
      <c r="L159" s="5"/>
      <c r="M159" s="5"/>
    </row>
    <row r="160" customFormat="false" ht="15" hidden="false" customHeight="false" outlineLevel="0" collapsed="false">
      <c r="A160" s="5"/>
      <c r="B160" s="5"/>
      <c r="C160" s="5"/>
      <c r="D160" s="6"/>
      <c r="E160" s="5"/>
      <c r="F160" s="5"/>
      <c r="G160" s="5"/>
      <c r="H160" s="5"/>
      <c r="I160" s="5"/>
      <c r="J160" s="5"/>
      <c r="K160" s="5"/>
      <c r="L160" s="5"/>
      <c r="M160" s="5"/>
    </row>
    <row r="161" customFormat="false" ht="15" hidden="false" customHeight="false" outlineLevel="0" collapsed="false">
      <c r="A161" s="5"/>
      <c r="B161" s="5"/>
      <c r="C161" s="5"/>
      <c r="D161" s="6"/>
      <c r="E161" s="5"/>
      <c r="F161" s="5"/>
      <c r="G161" s="5"/>
      <c r="H161" s="5"/>
      <c r="I161" s="5"/>
      <c r="J161" s="5"/>
      <c r="K161" s="5"/>
      <c r="L161" s="5"/>
      <c r="M161" s="5"/>
    </row>
    <row r="162" customFormat="false" ht="15" hidden="false" customHeight="false" outlineLevel="0" collapsed="false">
      <c r="A162" s="5"/>
      <c r="B162" s="5"/>
      <c r="C162" s="5"/>
      <c r="D162" s="6"/>
      <c r="E162" s="5"/>
      <c r="F162" s="5"/>
      <c r="G162" s="5"/>
      <c r="H162" s="5"/>
      <c r="I162" s="5"/>
      <c r="J162" s="5"/>
      <c r="K162" s="5"/>
      <c r="L162" s="5"/>
      <c r="M162" s="5"/>
    </row>
    <row r="163" customFormat="false" ht="15" hidden="false" customHeight="false" outlineLevel="0" collapsed="false">
      <c r="A163" s="5"/>
      <c r="B163" s="5"/>
      <c r="C163" s="5"/>
      <c r="D163" s="6"/>
      <c r="E163" s="5"/>
      <c r="F163" s="5"/>
      <c r="G163" s="5"/>
      <c r="H163" s="5"/>
      <c r="I163" s="5"/>
      <c r="J163" s="5"/>
      <c r="K163" s="5"/>
      <c r="L163" s="5"/>
      <c r="M163" s="5"/>
    </row>
    <row r="164" customFormat="false" ht="15" hidden="false" customHeight="false" outlineLevel="0" collapsed="false">
      <c r="A164" s="5"/>
      <c r="B164" s="5"/>
      <c r="C164" s="5"/>
      <c r="D164" s="6"/>
      <c r="E164" s="5"/>
      <c r="F164" s="5"/>
      <c r="G164" s="5"/>
      <c r="H164" s="5"/>
      <c r="I164" s="5"/>
      <c r="J164" s="5"/>
      <c r="K164" s="5"/>
      <c r="L164" s="5"/>
      <c r="M164" s="5"/>
    </row>
    <row r="165" customFormat="false" ht="15" hidden="false" customHeight="false" outlineLevel="0" collapsed="false">
      <c r="A165" s="5"/>
      <c r="B165" s="5"/>
      <c r="C165" s="5"/>
      <c r="D165" s="6"/>
      <c r="E165" s="5"/>
      <c r="F165" s="5"/>
      <c r="G165" s="5"/>
      <c r="H165" s="5"/>
      <c r="I165" s="5"/>
      <c r="J165" s="5"/>
      <c r="K165" s="5"/>
      <c r="L165" s="5"/>
      <c r="M165" s="5"/>
    </row>
    <row r="166" customFormat="false" ht="15" hidden="false" customHeight="false" outlineLevel="0" collapsed="false">
      <c r="A166" s="5"/>
      <c r="B166" s="5"/>
      <c r="C166" s="5"/>
      <c r="D166" s="6"/>
      <c r="E166" s="5"/>
      <c r="F166" s="5"/>
      <c r="G166" s="5"/>
      <c r="H166" s="5"/>
      <c r="I166" s="5"/>
      <c r="J166" s="5"/>
      <c r="K166" s="5"/>
      <c r="L166" s="5"/>
      <c r="M166" s="5"/>
    </row>
    <row r="167" customFormat="false" ht="15" hidden="false" customHeight="false" outlineLevel="0" collapsed="false">
      <c r="A167" s="5"/>
      <c r="B167" s="5"/>
      <c r="C167" s="5"/>
      <c r="D167" s="6"/>
      <c r="E167" s="5"/>
      <c r="F167" s="5"/>
      <c r="G167" s="5"/>
      <c r="H167" s="5"/>
      <c r="I167" s="5"/>
      <c r="J167" s="5"/>
      <c r="K167" s="5"/>
      <c r="L167" s="5"/>
      <c r="M167" s="5"/>
    </row>
    <row r="168" customFormat="false" ht="15" hidden="false" customHeight="false" outlineLevel="0" collapsed="false">
      <c r="A168" s="5"/>
      <c r="B168" s="5"/>
      <c r="C168" s="5"/>
      <c r="D168" s="6"/>
      <c r="E168" s="5"/>
      <c r="F168" s="5"/>
      <c r="G168" s="5"/>
      <c r="H168" s="5"/>
      <c r="I168" s="5"/>
      <c r="J168" s="5"/>
      <c r="K168" s="5"/>
      <c r="L168" s="5"/>
      <c r="M168" s="5"/>
    </row>
    <row r="169" customFormat="false" ht="15" hidden="false" customHeight="false" outlineLevel="0" collapsed="false">
      <c r="A169" s="5"/>
      <c r="B169" s="5"/>
      <c r="C169" s="5"/>
      <c r="D169" s="6"/>
      <c r="E169" s="5"/>
      <c r="F169" s="5"/>
      <c r="G169" s="5"/>
      <c r="H169" s="5"/>
      <c r="I169" s="5"/>
      <c r="J169" s="5"/>
      <c r="K169" s="5"/>
      <c r="L169" s="5"/>
      <c r="M169" s="5"/>
    </row>
    <row r="170" customFormat="false" ht="15" hidden="false" customHeight="false" outlineLevel="0" collapsed="false">
      <c r="A170" s="5"/>
      <c r="B170" s="5"/>
      <c r="C170" s="5"/>
      <c r="D170" s="6"/>
      <c r="E170" s="5"/>
      <c r="F170" s="5"/>
      <c r="G170" s="5"/>
      <c r="H170" s="5"/>
      <c r="I170" s="5"/>
      <c r="J170" s="5"/>
      <c r="K170" s="5"/>
      <c r="L170" s="5"/>
      <c r="M170" s="5"/>
    </row>
    <row r="171" customFormat="false" ht="15" hidden="false" customHeight="false" outlineLevel="0" collapsed="false">
      <c r="A171" s="5"/>
      <c r="B171" s="5"/>
      <c r="C171" s="5"/>
      <c r="D171" s="6"/>
      <c r="E171" s="5"/>
      <c r="F171" s="5"/>
      <c r="G171" s="5"/>
      <c r="H171" s="5"/>
      <c r="I171" s="5"/>
      <c r="J171" s="5"/>
      <c r="K171" s="5"/>
      <c r="L171" s="5"/>
      <c r="M171" s="5"/>
    </row>
    <row r="172" customFormat="false" ht="15" hidden="false" customHeight="false" outlineLevel="0" collapsed="false">
      <c r="A172" s="5"/>
      <c r="B172" s="5"/>
      <c r="C172" s="5"/>
      <c r="D172" s="6"/>
      <c r="E172" s="5"/>
      <c r="F172" s="5"/>
      <c r="G172" s="5"/>
      <c r="H172" s="5"/>
      <c r="I172" s="5"/>
      <c r="J172" s="5"/>
      <c r="K172" s="5"/>
      <c r="L172" s="5"/>
      <c r="M172" s="5"/>
    </row>
    <row r="173" customFormat="false" ht="15" hidden="false" customHeight="false" outlineLevel="0" collapsed="false">
      <c r="A173" s="5"/>
      <c r="B173" s="5"/>
      <c r="C173" s="5"/>
      <c r="D173" s="6"/>
      <c r="E173" s="5"/>
      <c r="F173" s="5"/>
      <c r="G173" s="5"/>
      <c r="H173" s="5"/>
      <c r="I173" s="5"/>
      <c r="J173" s="5"/>
      <c r="K173" s="5"/>
      <c r="L173" s="5"/>
      <c r="M173" s="5"/>
    </row>
    <row r="174" customFormat="false" ht="15" hidden="false" customHeight="false" outlineLevel="0" collapsed="false">
      <c r="A174" s="5"/>
      <c r="B174" s="5"/>
      <c r="C174" s="5"/>
      <c r="D174" s="6"/>
      <c r="E174" s="5"/>
      <c r="F174" s="5"/>
      <c r="G174" s="5"/>
      <c r="H174" s="5"/>
      <c r="I174" s="5"/>
      <c r="J174" s="5"/>
      <c r="K174" s="5"/>
      <c r="L174" s="5"/>
      <c r="M174" s="5"/>
    </row>
    <row r="175" customFormat="false" ht="15" hidden="false" customHeight="false" outlineLevel="0" collapsed="false">
      <c r="A175" s="5"/>
      <c r="B175" s="5"/>
      <c r="C175" s="5"/>
      <c r="D175" s="6"/>
      <c r="E175" s="5"/>
      <c r="F175" s="5"/>
      <c r="G175" s="5"/>
      <c r="H175" s="5"/>
      <c r="I175" s="5"/>
      <c r="J175" s="5"/>
      <c r="K175" s="5"/>
      <c r="L175" s="5"/>
      <c r="M175" s="5"/>
    </row>
    <row r="176" customFormat="false" ht="15" hidden="false" customHeight="false" outlineLevel="0" collapsed="false">
      <c r="A176" s="5"/>
      <c r="B176" s="5"/>
      <c r="C176" s="5"/>
      <c r="D176" s="6"/>
      <c r="E176" s="5"/>
      <c r="F176" s="5"/>
      <c r="G176" s="5"/>
      <c r="H176" s="5"/>
      <c r="I176" s="5"/>
      <c r="J176" s="5"/>
      <c r="K176" s="5"/>
      <c r="L176" s="5"/>
      <c r="M176" s="5"/>
    </row>
    <row r="177" customFormat="false" ht="15" hidden="false" customHeight="false" outlineLevel="0" collapsed="false">
      <c r="A177" s="5"/>
      <c r="B177" s="5"/>
      <c r="C177" s="5"/>
      <c r="D177" s="6"/>
      <c r="E177" s="5"/>
      <c r="F177" s="5"/>
      <c r="G177" s="5"/>
      <c r="H177" s="5"/>
      <c r="I177" s="5"/>
      <c r="J177" s="5"/>
      <c r="K177" s="5"/>
      <c r="L177" s="5"/>
      <c r="M177" s="5"/>
    </row>
    <row r="178" customFormat="false" ht="15" hidden="false" customHeight="false" outlineLevel="0" collapsed="false">
      <c r="A178" s="5"/>
      <c r="B178" s="5"/>
      <c r="C178" s="5"/>
      <c r="D178" s="6"/>
      <c r="E178" s="5"/>
      <c r="F178" s="5"/>
      <c r="G178" s="5"/>
      <c r="H178" s="5"/>
      <c r="I178" s="5"/>
      <c r="J178" s="5"/>
      <c r="K178" s="5"/>
      <c r="L178" s="5"/>
      <c r="M178" s="5"/>
    </row>
    <row r="179" customFormat="false" ht="15" hidden="false" customHeight="false" outlineLevel="0" collapsed="false">
      <c r="A179" s="5"/>
      <c r="B179" s="5"/>
      <c r="C179" s="5"/>
      <c r="D179" s="6"/>
      <c r="E179" s="5"/>
      <c r="F179" s="5"/>
      <c r="G179" s="5"/>
      <c r="H179" s="5"/>
      <c r="I179" s="5"/>
      <c r="J179" s="5"/>
      <c r="K179" s="5"/>
      <c r="L179" s="5"/>
      <c r="M179" s="5"/>
    </row>
    <row r="180" customFormat="false" ht="15" hidden="false" customHeight="false" outlineLevel="0" collapsed="false">
      <c r="A180" s="5"/>
      <c r="B180" s="5"/>
      <c r="C180" s="5"/>
      <c r="D180" s="6"/>
      <c r="E180" s="5"/>
      <c r="F180" s="5"/>
      <c r="G180" s="5"/>
      <c r="H180" s="5"/>
      <c r="I180" s="5"/>
      <c r="J180" s="5"/>
      <c r="K180" s="5"/>
      <c r="L180" s="5"/>
      <c r="M180" s="5"/>
    </row>
    <row r="181" customFormat="false" ht="15" hidden="false" customHeight="false" outlineLevel="0" collapsed="false">
      <c r="A181" s="5"/>
      <c r="B181" s="5"/>
      <c r="C181" s="5"/>
      <c r="D181" s="6"/>
      <c r="E181" s="5"/>
      <c r="F181" s="5"/>
      <c r="G181" s="5"/>
      <c r="H181" s="5"/>
      <c r="I181" s="5"/>
      <c r="J181" s="5"/>
      <c r="K181" s="5"/>
      <c r="L181" s="5"/>
      <c r="M181" s="5"/>
    </row>
    <row r="182" customFormat="false" ht="15" hidden="false" customHeight="false" outlineLevel="0" collapsed="false">
      <c r="A182" s="5"/>
      <c r="B182" s="5"/>
      <c r="C182" s="5"/>
      <c r="D182" s="6"/>
      <c r="E182" s="5"/>
      <c r="F182" s="5"/>
      <c r="G182" s="5"/>
      <c r="H182" s="5"/>
      <c r="I182" s="5"/>
      <c r="J182" s="5"/>
      <c r="K182" s="5"/>
      <c r="L182" s="5"/>
      <c r="M182" s="5"/>
    </row>
    <row r="183" customFormat="false" ht="15" hidden="false" customHeight="false" outlineLevel="0" collapsed="false">
      <c r="A183" s="5"/>
      <c r="B183" s="5"/>
      <c r="C183" s="5"/>
      <c r="D183" s="6"/>
      <c r="E183" s="5"/>
      <c r="F183" s="5"/>
      <c r="G183" s="5"/>
      <c r="H183" s="5"/>
      <c r="I183" s="5"/>
      <c r="J183" s="5"/>
      <c r="K183" s="5"/>
      <c r="L183" s="5"/>
      <c r="M183" s="5"/>
    </row>
    <row r="184" customFormat="false" ht="15" hidden="false" customHeight="false" outlineLevel="0" collapsed="false">
      <c r="A184" s="5"/>
      <c r="B184" s="5"/>
      <c r="C184" s="5"/>
      <c r="D184" s="6"/>
      <c r="E184" s="5"/>
      <c r="F184" s="5"/>
      <c r="G184" s="5"/>
      <c r="H184" s="5"/>
      <c r="I184" s="5"/>
      <c r="J184" s="5"/>
      <c r="K184" s="5"/>
      <c r="L184" s="5"/>
      <c r="M184" s="5"/>
    </row>
    <row r="185" customFormat="false" ht="15" hidden="false" customHeight="false" outlineLevel="0" collapsed="false">
      <c r="A185" s="5"/>
      <c r="B185" s="5"/>
      <c r="C185" s="5"/>
      <c r="D185" s="6"/>
      <c r="E185" s="5"/>
      <c r="F185" s="5"/>
      <c r="G185" s="5"/>
      <c r="H185" s="5"/>
      <c r="I185" s="5"/>
      <c r="J185" s="5"/>
      <c r="K185" s="5"/>
      <c r="L185" s="5"/>
      <c r="M185" s="5"/>
    </row>
    <row r="186" customFormat="false" ht="15" hidden="false" customHeight="false" outlineLevel="0" collapsed="false">
      <c r="A186" s="5"/>
      <c r="B186" s="5"/>
      <c r="C186" s="5"/>
      <c r="D186" s="6"/>
      <c r="E186" s="5"/>
      <c r="F186" s="5"/>
      <c r="G186" s="5"/>
      <c r="H186" s="5"/>
      <c r="I186" s="5"/>
      <c r="J186" s="5"/>
      <c r="K186" s="5"/>
      <c r="L186" s="5"/>
      <c r="M186" s="5"/>
    </row>
    <row r="187" customFormat="false" ht="15" hidden="false" customHeight="false" outlineLevel="0" collapsed="false">
      <c r="A187" s="5"/>
      <c r="B187" s="5"/>
      <c r="C187" s="5"/>
      <c r="D187" s="6"/>
      <c r="E187" s="5"/>
      <c r="F187" s="5"/>
      <c r="G187" s="5"/>
      <c r="H187" s="5"/>
      <c r="I187" s="5"/>
      <c r="J187" s="5"/>
      <c r="K187" s="5"/>
      <c r="L187" s="5"/>
      <c r="M187" s="5"/>
    </row>
    <row r="188" customFormat="false" ht="15" hidden="false" customHeight="false" outlineLevel="0" collapsed="false">
      <c r="A188" s="5"/>
      <c r="B188" s="5"/>
      <c r="C188" s="5"/>
      <c r="D188" s="6"/>
      <c r="E188" s="5"/>
      <c r="F188" s="5"/>
      <c r="G188" s="5"/>
      <c r="H188" s="5"/>
      <c r="I188" s="5"/>
      <c r="J188" s="5"/>
      <c r="K188" s="5"/>
      <c r="L188" s="5"/>
      <c r="M188" s="5"/>
    </row>
    <row r="189" customFormat="false" ht="15" hidden="false" customHeight="false" outlineLevel="0" collapsed="false">
      <c r="A189" s="5"/>
      <c r="B189" s="5"/>
      <c r="C189" s="5"/>
      <c r="D189" s="6"/>
      <c r="E189" s="5"/>
      <c r="F189" s="5"/>
      <c r="G189" s="5"/>
      <c r="H189" s="5"/>
      <c r="I189" s="5"/>
      <c r="J189" s="5"/>
      <c r="K189" s="5"/>
      <c r="L189" s="5"/>
      <c r="M189" s="5"/>
    </row>
    <row r="190" customFormat="false" ht="15" hidden="false" customHeight="false" outlineLevel="0" collapsed="false">
      <c r="A190" s="5"/>
      <c r="B190" s="5"/>
      <c r="C190" s="5"/>
      <c r="D190" s="6"/>
      <c r="E190" s="5"/>
      <c r="F190" s="5"/>
      <c r="G190" s="5"/>
      <c r="H190" s="5"/>
      <c r="I190" s="5"/>
      <c r="J190" s="5"/>
      <c r="K190" s="5"/>
      <c r="L190" s="5"/>
      <c r="M190" s="5"/>
    </row>
    <row r="191" customFormat="false" ht="15" hidden="false" customHeight="false" outlineLevel="0" collapsed="false">
      <c r="A191" s="5"/>
      <c r="B191" s="5"/>
      <c r="C191" s="5"/>
      <c r="D191" s="6"/>
      <c r="E191" s="5"/>
      <c r="F191" s="5"/>
      <c r="G191" s="5"/>
      <c r="H191" s="5"/>
      <c r="I191" s="5"/>
      <c r="J191" s="5"/>
      <c r="K191" s="5"/>
      <c r="L191" s="5"/>
      <c r="M191" s="5"/>
    </row>
    <row r="192" customFormat="false" ht="15" hidden="false" customHeight="false" outlineLevel="0" collapsed="false">
      <c r="A192" s="5"/>
      <c r="B192" s="5"/>
      <c r="C192" s="5"/>
      <c r="D192" s="6"/>
      <c r="E192" s="5"/>
      <c r="F192" s="5"/>
      <c r="G192" s="5"/>
      <c r="H192" s="5"/>
      <c r="I192" s="5"/>
      <c r="J192" s="5"/>
      <c r="K192" s="5"/>
      <c r="L192" s="5"/>
      <c r="M192" s="5"/>
    </row>
    <row r="193" customFormat="false" ht="15" hidden="false" customHeight="false" outlineLevel="0" collapsed="false">
      <c r="A193" s="5"/>
      <c r="B193" s="5"/>
      <c r="C193" s="5"/>
      <c r="D193" s="6"/>
      <c r="E193" s="5"/>
      <c r="F193" s="5"/>
      <c r="G193" s="5"/>
      <c r="H193" s="5"/>
      <c r="I193" s="5"/>
      <c r="J193" s="5"/>
      <c r="K193" s="5"/>
      <c r="L193" s="5"/>
      <c r="M193" s="5"/>
    </row>
    <row r="194" customFormat="false" ht="15" hidden="false" customHeight="false" outlineLevel="0" collapsed="false">
      <c r="A194" s="5"/>
      <c r="B194" s="5"/>
      <c r="C194" s="5"/>
      <c r="D194" s="6"/>
      <c r="E194" s="5"/>
      <c r="F194" s="5"/>
      <c r="G194" s="5"/>
      <c r="H194" s="5"/>
      <c r="I194" s="5"/>
      <c r="J194" s="5"/>
      <c r="K194" s="5"/>
      <c r="L194" s="5"/>
      <c r="M194" s="5"/>
    </row>
    <row r="195" customFormat="false" ht="15" hidden="false" customHeight="false" outlineLevel="0" collapsed="false">
      <c r="A195" s="5"/>
      <c r="B195" s="5"/>
      <c r="C195" s="5"/>
      <c r="D195" s="6"/>
      <c r="E195" s="5"/>
      <c r="F195" s="5"/>
      <c r="G195" s="5"/>
      <c r="H195" s="5"/>
      <c r="I195" s="5"/>
      <c r="J195" s="5"/>
      <c r="K195" s="5"/>
      <c r="L195" s="5"/>
      <c r="M195" s="5"/>
    </row>
    <row r="196" customFormat="false" ht="15" hidden="false" customHeight="false" outlineLevel="0" collapsed="false">
      <c r="A196" s="5"/>
      <c r="B196" s="5"/>
      <c r="C196" s="5"/>
      <c r="D196" s="6"/>
      <c r="E196" s="5"/>
      <c r="F196" s="5"/>
      <c r="G196" s="5"/>
      <c r="H196" s="5"/>
      <c r="I196" s="5"/>
      <c r="J196" s="5"/>
      <c r="K196" s="5"/>
      <c r="L196" s="5"/>
      <c r="M196" s="5"/>
    </row>
    <row r="197" customFormat="false" ht="15" hidden="false" customHeight="false" outlineLevel="0" collapsed="false">
      <c r="A197" s="5"/>
      <c r="B197" s="5"/>
      <c r="C197" s="5"/>
      <c r="D197" s="6"/>
      <c r="E197" s="5"/>
      <c r="F197" s="5"/>
      <c r="G197" s="5"/>
      <c r="H197" s="5"/>
      <c r="I197" s="5"/>
      <c r="J197" s="5"/>
      <c r="K197" s="5"/>
      <c r="L197" s="5"/>
      <c r="M197" s="5"/>
    </row>
    <row r="198" customFormat="false" ht="15" hidden="false" customHeight="false" outlineLevel="0" collapsed="false">
      <c r="A198" s="5"/>
      <c r="B198" s="5"/>
      <c r="C198" s="5"/>
      <c r="D198" s="6"/>
      <c r="E198" s="5"/>
      <c r="F198" s="5"/>
      <c r="G198" s="5"/>
      <c r="H198" s="5"/>
      <c r="I198" s="5"/>
      <c r="J198" s="5"/>
      <c r="K198" s="5"/>
      <c r="L198" s="5"/>
      <c r="M198" s="5"/>
    </row>
    <row r="199" customFormat="false" ht="15" hidden="false" customHeight="false" outlineLevel="0" collapsed="false">
      <c r="A199" s="5"/>
      <c r="B199" s="5"/>
      <c r="C199" s="5"/>
      <c r="D199" s="6"/>
      <c r="E199" s="5"/>
      <c r="F199" s="5"/>
      <c r="G199" s="5"/>
      <c r="H199" s="5"/>
      <c r="I199" s="5"/>
      <c r="J199" s="5"/>
      <c r="K199" s="5"/>
      <c r="L199" s="5"/>
      <c r="M199" s="5"/>
    </row>
    <row r="200" customFormat="false" ht="15" hidden="false" customHeight="false" outlineLevel="0" collapsed="false">
      <c r="A200" s="5"/>
      <c r="B200" s="5"/>
      <c r="C200" s="5"/>
      <c r="D200" s="6"/>
      <c r="E200" s="5"/>
      <c r="F200" s="5"/>
      <c r="G200" s="5"/>
      <c r="H200" s="5"/>
      <c r="I200" s="5"/>
      <c r="J200" s="5"/>
      <c r="K200" s="5"/>
      <c r="L200" s="5"/>
      <c r="M200" s="5"/>
    </row>
    <row r="201" customFormat="false" ht="15" hidden="false" customHeight="false" outlineLevel="0" collapsed="false">
      <c r="A201" s="5"/>
      <c r="B201" s="5"/>
      <c r="C201" s="5"/>
      <c r="D201" s="6"/>
      <c r="E201" s="5"/>
      <c r="F201" s="5"/>
      <c r="G201" s="5"/>
      <c r="H201" s="5"/>
      <c r="I201" s="5"/>
      <c r="J201" s="5"/>
      <c r="K201" s="5"/>
      <c r="L201" s="5"/>
      <c r="M201" s="5"/>
    </row>
    <row r="202" customFormat="false" ht="15" hidden="false" customHeight="false" outlineLevel="0" collapsed="false">
      <c r="A202" s="5"/>
      <c r="B202" s="5"/>
      <c r="C202" s="5"/>
      <c r="D202" s="6"/>
      <c r="E202" s="5"/>
      <c r="F202" s="5"/>
      <c r="G202" s="5"/>
      <c r="H202" s="5"/>
      <c r="I202" s="5"/>
      <c r="J202" s="5"/>
      <c r="K202" s="5"/>
      <c r="L202" s="5"/>
      <c r="M202" s="5"/>
    </row>
    <row r="203" customFormat="false" ht="15" hidden="false" customHeight="false" outlineLevel="0" collapsed="false">
      <c r="A203" s="5"/>
      <c r="B203" s="5"/>
      <c r="C203" s="5"/>
      <c r="D203" s="6"/>
      <c r="E203" s="5"/>
      <c r="F203" s="5"/>
      <c r="G203" s="5"/>
      <c r="H203" s="5"/>
      <c r="I203" s="5"/>
      <c r="J203" s="5"/>
      <c r="K203" s="5"/>
      <c r="L203" s="5"/>
      <c r="M203" s="5"/>
    </row>
  </sheetData>
  <mergeCells count="1">
    <mergeCell ref="A1:M1"/>
  </mergeCells>
  <dataValidations count="6">
    <dataValidation allowBlank="true" errorStyle="stop" operator="between" showDropDown="false" showErrorMessage="false" showInputMessage="false" sqref="B3:B203" type="list">
      <formula1>Lists!$A$2:$A$9</formula1>
      <formula2>0</formula2>
    </dataValidation>
    <dataValidation allowBlank="true" errorStyle="stop" operator="between" showDropDown="false" showErrorMessage="false" showInputMessage="false" sqref="C3:C203" type="list">
      <formula1>Lists!$B$2:$B$11</formula1>
      <formula2>0</formula2>
    </dataValidation>
    <dataValidation allowBlank="true" errorStyle="stop" operator="between" showDropDown="false" showErrorMessage="false" showInputMessage="false" sqref="E3:E203" type="list">
      <formula1>Lists!$C$2:$C$7</formula1>
      <formula2>0</formula2>
    </dataValidation>
    <dataValidation allowBlank="true" errorStyle="stop" operator="between" showDropDown="false" showErrorMessage="false" showInputMessage="false" sqref="H3:H203" type="list">
      <formula1>Lists!$D$2:$D$5</formula1>
      <formula2>0</formula2>
    </dataValidation>
    <dataValidation allowBlank="true" errorStyle="stop" operator="between" showDropDown="false" showErrorMessage="false" showInputMessage="false" sqref="I3:I203" type="list">
      <formula1>Lists!$E$2:$E$5</formula1>
      <formula2>0</formula2>
    </dataValidation>
    <dataValidation allowBlank="true" errorStyle="stop" operator="between" showDropDown="false" showErrorMessage="false" showInputMessage="false" sqref="M3:M203" type="list">
      <formula1>Lists!$F$2:$F$5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7" t="s">
        <v>26</v>
      </c>
    </row>
    <row r="3" customFormat="false" ht="15" hidden="false" customHeight="false" outlineLevel="0" collapsed="false">
      <c r="A3" s="8" t="s">
        <v>27</v>
      </c>
      <c r="B3" s="8" t="s">
        <v>28</v>
      </c>
      <c r="C3" s="8" t="s">
        <v>29</v>
      </c>
    </row>
    <row r="4" customFormat="false" ht="15" hidden="false" customHeight="false" outlineLevel="0" collapsed="false">
      <c r="A4" s="9" t="s">
        <v>30</v>
      </c>
      <c r="B4" s="7" t="n">
        <f aca="false">COUNTA(Interviews!$A$4:$A$203)</f>
        <v>0</v>
      </c>
      <c r="C4" s="10"/>
    </row>
    <row r="5" customFormat="false" ht="15" hidden="false" customHeight="false" outlineLevel="0" collapsed="false">
      <c r="A5" s="9" t="s">
        <v>31</v>
      </c>
      <c r="B5" s="7" t="n">
        <f aca="false">COUNTIF(Interviews!$B$4:$B$203,"Professor")</f>
        <v>0</v>
      </c>
      <c r="C5" s="10" t="s">
        <v>32</v>
      </c>
    </row>
    <row r="6" customFormat="false" ht="15" hidden="false" customHeight="false" outlineLevel="0" collapsed="false">
      <c r="A6" s="9" t="s">
        <v>33</v>
      </c>
      <c r="B6" s="7" t="n">
        <f aca="false">COUNTIFS(Interviews!$B$4:$B$203,"Professor",Interviews!$H$4:$H$203,"Yes")</f>
        <v>0</v>
      </c>
      <c r="C6" s="10" t="s">
        <v>34</v>
      </c>
    </row>
    <row r="7" customFormat="false" ht="15" hidden="false" customHeight="false" outlineLevel="0" collapsed="false">
      <c r="A7" s="9" t="s">
        <v>35</v>
      </c>
      <c r="B7" s="7" t="n">
        <f aca="false">COUNTIFS(Interviews!$B$4:$B$203,"Professor",Interviews!$H$4:$H$203,"Maybe")</f>
        <v>0</v>
      </c>
      <c r="C7" s="10" t="s">
        <v>36</v>
      </c>
    </row>
    <row r="8" customFormat="false" ht="15" hidden="false" customHeight="false" outlineLevel="0" collapsed="false">
      <c r="A8" s="9" t="s">
        <v>37</v>
      </c>
      <c r="B8" s="7" t="n">
        <f aca="false">COUNTIFS(Interviews!$B$4:$B$203,"Professor",Interviews!$H$4:$H$203,"No")</f>
        <v>0</v>
      </c>
      <c r="C8" s="10"/>
    </row>
    <row r="9" customFormat="false" ht="15" hidden="false" customHeight="false" outlineLevel="0" collapsed="false">
      <c r="A9" s="9" t="s">
        <v>38</v>
      </c>
      <c r="B9" s="11" t="n">
        <f aca="false">IFERROR(B6/B5,0)</f>
        <v>0</v>
      </c>
      <c r="C9" s="10" t="s">
        <v>39</v>
      </c>
    </row>
    <row r="10" customFormat="false" ht="15" hidden="false" customHeight="false" outlineLevel="0" collapsed="false">
      <c r="A10" s="9" t="s">
        <v>40</v>
      </c>
      <c r="B10" s="7" t="n">
        <f aca="false">COUNTIF(Interviews!$M$4:$M$203,"LOI signed")</f>
        <v>0</v>
      </c>
      <c r="C10" s="10" t="s">
        <v>41</v>
      </c>
    </row>
    <row r="11" customFormat="false" ht="15" hidden="false" customHeight="false" outlineLevel="0" collapsed="false">
      <c r="A11" s="9" t="s">
        <v>42</v>
      </c>
      <c r="B11" s="7" t="n">
        <f aca="false">COUNTIF(Interviews!$M$4:$M$203,"LOI discussed")</f>
        <v>0</v>
      </c>
      <c r="C11" s="10"/>
    </row>
    <row r="12" customFormat="false" ht="15" hidden="false" customHeight="false" outlineLevel="0" collapsed="false">
      <c r="A12" s="9" t="s">
        <v>43</v>
      </c>
      <c r="B12" s="7" t="n">
        <f aca="false">COUNTIF(Interviews!$I$4:$I$203,"About right")</f>
        <v>0</v>
      </c>
      <c r="C12" s="10" t="s">
        <v>44</v>
      </c>
    </row>
    <row r="13" customFormat="false" ht="15" hidden="false" customHeight="false" outlineLevel="0" collapsed="false">
      <c r="A13" s="9" t="s">
        <v>45</v>
      </c>
      <c r="B13" s="7" t="n">
        <f aca="false">COUNTIF(Interviews!$I$4:$I$203,"Too cheap to trust")</f>
        <v>0</v>
      </c>
      <c r="C13" s="10"/>
    </row>
    <row r="14" customFormat="false" ht="15" hidden="false" customHeight="false" outlineLevel="0" collapsed="false">
      <c r="A14" s="9" t="s">
        <v>46</v>
      </c>
      <c r="B14" s="7" t="n">
        <f aca="false">COUNTIF(Interviews!$I$4:$I$203,"Too expensive")</f>
        <v>0</v>
      </c>
      <c r="C14" s="10"/>
    </row>
    <row r="15" customFormat="false" ht="15" hidden="false" customHeight="false" outlineLevel="0" collapsed="false">
      <c r="A15" s="9" t="s">
        <v>47</v>
      </c>
      <c r="B15" s="7" t="n">
        <f aca="false">SUMPRODUCT((Interviews!$C$4:$C$203&lt;&gt;"")/COUNTIF(Interviews!$C$4:$C$203,Interviews!$C$4:$C$203&amp;""))</f>
        <v>0</v>
      </c>
      <c r="C15" s="10"/>
    </row>
    <row r="16" customFormat="false" ht="15" hidden="false" customHeight="false" outlineLevel="0" collapsed="false">
      <c r="A16" s="9" t="s">
        <v>48</v>
      </c>
      <c r="B16" s="7" t="str">
        <f aca="false">IF(AND(B5&gt;=10,B6&gt;=6),"YES","not yet")</f>
        <v>not yet</v>
      </c>
      <c r="C16" s="10" t="s">
        <v>49</v>
      </c>
    </row>
    <row r="17" customFormat="false" ht="15" hidden="false" customHeight="false" outlineLevel="0" collapsed="false">
      <c r="A17" s="9" t="s">
        <v>50</v>
      </c>
      <c r="B17" s="7" t="str">
        <f aca="false">IF(B10&gt;=1,"YES","not yet")</f>
        <v>not yet</v>
      </c>
      <c r="C17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7" t="s">
        <v>2</v>
      </c>
      <c r="B1" s="7" t="s">
        <v>3</v>
      </c>
      <c r="C1" s="7" t="s">
        <v>52</v>
      </c>
      <c r="D1" s="7" t="s">
        <v>53</v>
      </c>
      <c r="E1" s="7" t="s">
        <v>54</v>
      </c>
      <c r="F1" s="7" t="s">
        <v>55</v>
      </c>
    </row>
    <row r="2" customFormat="false" ht="15" hidden="false" customHeight="false" outlineLevel="0" collapsed="false">
      <c r="A2" s="9" t="s">
        <v>15</v>
      </c>
      <c r="B2" s="9" t="s">
        <v>16</v>
      </c>
      <c r="C2" s="9" t="s">
        <v>18</v>
      </c>
      <c r="D2" s="9" t="s">
        <v>56</v>
      </c>
      <c r="E2" s="9" t="s">
        <v>57</v>
      </c>
      <c r="F2" s="9" t="s">
        <v>58</v>
      </c>
    </row>
    <row r="3" customFormat="false" ht="15" hidden="false" customHeight="false" outlineLevel="0" collapsed="false">
      <c r="A3" s="9" t="s">
        <v>59</v>
      </c>
      <c r="B3" s="9" t="s">
        <v>60</v>
      </c>
      <c r="C3" s="9" t="s">
        <v>61</v>
      </c>
      <c r="D3" s="9" t="s">
        <v>21</v>
      </c>
      <c r="E3" s="9" t="s">
        <v>62</v>
      </c>
      <c r="F3" s="9" t="s">
        <v>25</v>
      </c>
    </row>
    <row r="4" customFormat="false" ht="15" hidden="false" customHeight="false" outlineLevel="0" collapsed="false">
      <c r="A4" s="9" t="s">
        <v>63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</row>
    <row r="5" customFormat="false" ht="15" hidden="false" customHeight="false" outlineLevel="0" collapsed="false">
      <c r="A5" s="9" t="s">
        <v>69</v>
      </c>
      <c r="B5" s="9" t="s">
        <v>70</v>
      </c>
      <c r="C5" s="9" t="s">
        <v>71</v>
      </c>
      <c r="D5" s="9" t="s">
        <v>72</v>
      </c>
      <c r="E5" s="9" t="s">
        <v>22</v>
      </c>
      <c r="F5" s="9" t="s">
        <v>73</v>
      </c>
    </row>
    <row r="6" customFormat="false" ht="15" hidden="false" customHeight="false" outlineLevel="0" collapsed="false">
      <c r="A6" s="9" t="s">
        <v>74</v>
      </c>
      <c r="B6" s="9" t="s">
        <v>75</v>
      </c>
      <c r="C6" s="9" t="s">
        <v>76</v>
      </c>
    </row>
    <row r="7" customFormat="false" ht="15" hidden="false" customHeight="false" outlineLevel="0" collapsed="false">
      <c r="A7" s="9" t="s">
        <v>77</v>
      </c>
      <c r="B7" s="9" t="s">
        <v>78</v>
      </c>
      <c r="C7" s="9" t="s">
        <v>79</v>
      </c>
    </row>
    <row r="8" customFormat="false" ht="15" hidden="false" customHeight="false" outlineLevel="0" collapsed="false">
      <c r="A8" s="9" t="s">
        <v>80</v>
      </c>
      <c r="B8" s="9" t="s">
        <v>81</v>
      </c>
    </row>
    <row r="9" customFormat="false" ht="15" hidden="false" customHeight="false" outlineLevel="0" collapsed="false">
      <c r="A9" s="9" t="s">
        <v>79</v>
      </c>
      <c r="B9" s="9" t="s">
        <v>82</v>
      </c>
    </row>
    <row r="10" customFormat="false" ht="15" hidden="false" customHeight="false" outlineLevel="0" collapsed="false">
      <c r="B10" s="9" t="s">
        <v>83</v>
      </c>
    </row>
    <row r="11" customFormat="false" ht="15" hidden="false" customHeight="false" outlineLevel="0" collapsed="false">
      <c r="B11" s="9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2026-09-28T02:12:03Z</dcterms:created>
  <dc:creator>openpyxl</dc:creator>
  <dc:description/>
  <dc:language>en-US</dc:language>
  <cp:lastModifiedBy/>
  <dcterms:modified xsi:type="dcterms:W3CDTF">2026-09-28T02:12:03Z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